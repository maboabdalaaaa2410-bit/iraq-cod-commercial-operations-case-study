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264" activeTab="2"/>
  </bookViews>
  <sheets>
    <sheet name="Unit Economics" sheetId="1" r:id="rId1"/>
    <sheet name="COD Funnel" sheetId="2" r:id="rId2"/>
    <sheet name="Decision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<sst xmlns="http://schemas.openxmlformats.org/spreadsheetml/2006/main" count="44" uniqueCount="44">
  <si>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SKU</t>
  </si>
  <si>
    <t>Product</t>
  </si>
  <si>
    <t>Sell Price USD</t>
  </si>
  <si>
    <t>Product Cost USD</t>
  </si>
  <si>
    <t>Delivery USD</t>
  </si>
  <si>
    <t>Packaging USD</t>
  </si>
  <si>
    <t>Ad CAC USD</t>
  </si>
  <si>
    <t>Return/Fail Rate</t>
  </si>
  <si>
    <t>Expected Loss USD</t>
  </si>
  <si>
    <t>Net Contribution USD</t>
  </si>
  <si>
    <t>Contribution Margin</t>
  </si>
  <si>
    <t>SKU-001</t>
  </si>
  <si>
    <t>Smart Personal-Care Bundle</t>
  </si>
  <si>
    <t>Funnel Stage</t>
  </si>
  <si>
    <t>Count</t>
  </si>
  <si>
    <t>Conversion from Previous</t>
  </si>
  <si>
    <t>Operational Rule</t>
  </si>
  <si>
    <t>Paid Clicks</t>
  </si>
  <si>
    <t/>
  </si>
  <si>
    <t>Baseline test</t>
  </si>
  <si>
    <t>Landing-Page Leads</t>
  </si>
  <si>
    <t>Target &gt;= 7%</t>
  </si>
  <si>
    <t>Confirmed Orders</t>
  </si>
  <si>
    <t>Target &gt;= 60%</t>
  </si>
  <si>
    <t>Delivered Orders</t>
  </si>
  <si>
    <t>Target &gt;= 80%</t>
  </si>
  <si>
    <t>Successful Collections</t>
  </si>
  <si>
    <t>Target &gt;= 94%</t>
  </si>
  <si>
    <t>Decision ID</t>
  </si>
  <si>
    <t>Date</t>
  </si>
  <si>
    <t>Signal / Evidence</t>
  </si>
  <si>
    <t>Decision</t>
  </si>
  <si>
    <t>Owner</t>
  </si>
  <si>
    <t>Expected Impact</t>
  </si>
  <si>
    <t>Status</t>
  </si>
  <si>
    <t>Next Review</t>
  </si>
  <si>
    <t>DEC-001</t>
  </si>
  <si>
    <t>2026-10-13</t>
  </si>
  <si>
    <t>Illustrative margin model</t>
  </si>
  <si>
    <t>Run controlled 1,000-click validation test</t>
  </si>
  <si>
    <t>Mohamed Osama</t>
  </si>
  <si>
    <t>Validate economics before scaling</t>
  </si>
  <si>
    <t>Open</t>
  </si>
  <si>
    <t>After first 1,000 paid clicks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</si>
</sst>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&quot;$&quot;0.0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178" fontId="0" fillId="0" borderId="0" xfId="0" applyNumberForma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  <dxf>
      <font>
        <b val="1"/>
        <sz val="12"/>
        <color theme="1"/>
      </font>
      <fill>
        <patternFill patternType="none"/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25" totalsRowShown="0">
  <autoFilter xmlns:etc="http://www.wps.cn/officeDocument/2017/etCustomData" ref="A1:K25" etc:filterBottomFollowUsedRange="0"/>
  <tableColumns count="11">
    <tableColumn id="1" name="SKU" dataDxfId="0"/>
    <tableColumn id="2" name="Product" dataDxfId="1"/>
    <tableColumn id="3" name="Sell Price USD" dataDxfId="2"/>
    <tableColumn id="4" name="Product Cost USD" dataDxfId="3"/>
    <tableColumn id="5" name="Delivery USD" dataDxfId="4"/>
    <tableColumn id="6" name="Packaging USD" dataDxfId="5"/>
    <tableColumn id="7" name="Ad CAC USD" dataDxfId="6"/>
    <tableColumn id="8" name="Return/Fail Rate" dataDxfId="7"/>
    <tableColumn id="9" name="Expected Loss USD" dataDxfId="8"/>
    <tableColumn id="10" name="Net Contribution USD" dataDxfId="9"/>
    <tableColumn id="11" name="Contribution Margin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85" zoomScaleNormal="85" workbookViewId="0">
      <selection activeCell="A25" sqref="A25"/>
    </sheetView>
  </sheetViews>
  <sheetFormatPr defaultColWidth="9" defaultRowHeight="14.4"/>
  <cols>
    <col min="1" max="1" width="9.33333333333333" customWidth="1"/>
    <col min="2" max="2" width="35.6666666666667" customWidth="1"/>
    <col min="3" max="3" width="18.5555555555556" customWidth="1"/>
    <col min="4" max="4" width="22.3518518518519" customWidth="1"/>
    <col min="5" max="5" width="14.1111111111111" customWidth="1"/>
    <col min="6" max="6" width="16" customWidth="1"/>
    <col min="7" max="7" width="13.4444444444444" customWidth="1"/>
    <col min="8" max="8" width="17.8888888888889" customWidth="1"/>
    <col min="9" max="9" width="20.1111111111111" customWidth="1"/>
    <col min="10" max="10" width="23.5555555555556" customWidth="1"/>
    <col min="11" max="11" width="23.9074074074074" customWidth="1"/>
  </cols>
  <sheetData>
    <row r="1" ht="26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15.6" spans="1:11">
      <c r="A2" s="6" t="s">
        <v>11</v>
      </c>
      <c r="B2" s="6" t="s">
        <v>12</v>
      </c>
      <c r="C2" s="7">
        <v>24</v>
      </c>
      <c r="D2" s="7">
        <v>7.2</v>
      </c>
      <c r="E2" s="7">
        <v>3</v>
      </c>
      <c r="F2" s="7">
        <v>0.7</v>
      </c>
      <c r="G2" s="7">
        <v>4.5</v>
      </c>
      <c r="H2" s="8">
        <v>0.18</v>
      </c>
      <c r="I2" s="7">
        <f>C2*H2</f>
        <v>4.32</v>
      </c>
      <c r="J2" s="7">
        <f>C2-D2-E2-F2-G2-I2</f>
        <v>4.28</v>
      </c>
      <c r="K2" s="8">
        <f>J2/C2</f>
        <v>0.178333333333333</v>
      </c>
    </row>
    <row r="3" ht="15.6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6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ht="15.6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15.6" spans="1:11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6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15.6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ht="15.6" spans="1:11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ht="15.6" spans="1:1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ht="15.6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ht="15.6" spans="1:1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ht="15.6" spans="1:1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ht="15.6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ht="15.6" spans="1:1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ht="15.6" spans="1:1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ht="15.6" spans="1:1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ht="15.6" spans="1:1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15.6" spans="1:1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ht="15.6" spans="1:1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15.6" spans="1:1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ht="15.6" spans="1:1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ht="15.6" spans="1:1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ht="15.6" spans="1:1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ht="15.6" spans="1:1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1" sqref="D11"/>
    </sheetView>
  </sheetViews>
  <sheetFormatPr defaultColWidth="9" defaultRowHeight="14.4" outlineLevelRow="5" outlineLevelCol="3"/>
  <cols>
    <col min="1" max="1" width="26" customWidth="1"/>
    <col min="2" max="2" width="14" customWidth="1"/>
    <col min="3" max="4" width="28" customWidth="1"/>
  </cols>
  <sheetData>
    <row r="1" spans="1:4">
      <c r="A1" s="3" t="s">
        <v>13</v>
      </c>
      <c r="B1" s="3" t="s">
        <v>14</v>
      </c>
      <c r="C1" s="3" t="s">
        <v>15</v>
      </c>
      <c r="D1" s="3" t="s">
        <v>16</v>
      </c>
    </row>
    <row r="2" spans="1:4">
      <c r="A2" t="s">
        <v>17</v>
      </c>
      <c r="B2">
        <v>1000</v>
      </c>
      <c r="C2" t="s">
        <v>18</v>
      </c>
      <c r="D2" t="s">
        <v>19</v>
      </c>
    </row>
    <row r="3" spans="1:4">
      <c r="A3" t="s">
        <v>20</v>
      </c>
      <c r="B3">
        <v>70</v>
      </c>
      <c r="C3" s="4">
        <f>B3/B2</f>
        <v>0.07</v>
      </c>
      <c r="D3" t="s">
        <v>21</v>
      </c>
    </row>
    <row r="4" spans="1:4">
      <c r="A4" t="s">
        <v>22</v>
      </c>
      <c r="B4">
        <v>42</v>
      </c>
      <c r="C4" s="4">
        <f>B4/B3</f>
        <v>0.6</v>
      </c>
      <c r="D4" t="s">
        <v>23</v>
      </c>
    </row>
    <row r="5" spans="1:4">
      <c r="A5" t="s">
        <v>24</v>
      </c>
      <c r="B5">
        <v>34</v>
      </c>
      <c r="C5" s="4">
        <f>B5/B4</f>
        <v>0.80952380952381</v>
      </c>
      <c r="D5" t="s">
        <v>25</v>
      </c>
    </row>
    <row r="6" spans="1:4">
      <c r="A6" t="s">
        <v>26</v>
      </c>
      <c r="B6">
        <v>32</v>
      </c>
      <c r="C6" s="4">
        <f>B6/B5</f>
        <v>0.941176470588235</v>
      </c>
      <c r="D6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A1"/>
    </sheetView>
  </sheetViews>
  <sheetFormatPr defaultColWidth="9" defaultRowHeight="14.4" outlineLevelRow="1" outlineLevelCol="7"/>
  <cols>
    <col min="1" max="1" width="15" customWidth="1"/>
    <col min="2" max="2" width="14" customWidth="1"/>
    <col min="3" max="3" width="35" customWidth="1"/>
    <col min="4" max="4" width="45" customWidth="1"/>
    <col min="5" max="5" width="20" customWidth="1"/>
    <col min="6" max="6" width="35" customWidth="1"/>
    <col min="7" max="7" width="14" customWidth="1"/>
    <col min="8" max="8" width="28" customWidth="1"/>
  </cols>
  <sheetData>
    <row r="1" spans="1: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Unit Economics</vt:lpstr>
      <vt:lpstr>COD Funnel</vt:lpstr>
      <vt:lpstr>Decision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OSAMA</cp:lastModifiedBy>
  <dcterms:created xsi:type="dcterms:W3CDTF">2026-10-13T18:11:00Z</dcterms:created>
  <dcterms:modified xsi:type="dcterms:W3CDTF">2026-10-13T18:16:05Z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EC7579DBB2524C0A809CA85405B4C949_12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